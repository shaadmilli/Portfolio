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rade_pricing" sheetId="1" state="visible" r:id="rId3"/>
    <sheet name="sensitivity analysis" sheetId="2" state="visible" r:id="rId4"/>
    <sheet name="Grade Overla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<sst xmlns="http://schemas.openxmlformats.org/spreadsheetml/2006/main" count="49" uniqueCount="35">
  <si>
    <t xml:space="preserve">grade</t>
  </si>
  <si>
    <t xml:space="preserve">_FREQ_</t>
  </si>
  <si>
    <t xml:space="preserve">avg_pred_prob</t>
  </si>
  <si>
    <t xml:space="preserve">avg_int_rate</t>
  </si>
  <si>
    <t xml:space="preserve">avg_loan_amnt</t>
  </si>
  <si>
    <t xml:space="preserve">avg_actual_default</t>
  </si>
  <si>
    <t xml:space="preserve">avg_LGD_by_Grade</t>
  </si>
  <si>
    <t xml:space="preserve">Fair Rate </t>
  </si>
  <si>
    <t xml:space="preserve">Rate Gap</t>
  </si>
  <si>
    <t xml:space="preserve">expected loss on default</t>
  </si>
  <si>
    <t xml:space="preserve">breakeven interest rate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</si>
  <si>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</si>
  <si>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</si>
  <si>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</si>
  <si>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</si>
  <si>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</si>
  <si>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</si>
  <si>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G</t>
  </si>
  <si>
    <t xml:space="preserve">Average funded amount</t>
  </si>
  <si>
    <t xml:space="preserve">average total principle recovered</t>
  </si>
  <si>
    <t xml:space="preserve">average recoveries</t>
  </si>
  <si>
    <t xml:space="preserve">Cost of funds</t>
  </si>
  <si>
    <t xml:space="preserve">Profit margin</t>
  </si>
  <si>
    <t xml:space="preserve">Average EAD</t>
  </si>
  <si>
    <t xml:space="preserve">average EAD ratio</t>
  </si>
  <si>
    <t xml:space="preserve">Cost of funds sensitivity table fair rate</t>
  </si>
  <si>
    <t xml:space="preserve">default prediction proability </t>
  </si>
  <si>
    <t xml:space="preserve">Grade</t>
  </si>
  <si>
    <t xml:space="preserve">LGD</t>
  </si>
  <si>
    <t xml:space="preserve">Lending Club Average Rate</t>
  </si>
  <si>
    <t xml:space="preserve">Breakever Rate</t>
  </si>
  <si>
    <t xml:space="preserve">Fair rate</t>
  </si>
  <si>
    <t xml:space="preserve">Fair Rate gap</t>
  </si>
  <si>
    <t xml:space="preserve">Mispriced?</t>
  </si>
  <si>
    <t xml:space="preserve">breakeven rate gap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</si>
</sst>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"/>
    <col collapsed="false" customWidth="true" hidden="false" outlineLevel="0" max="3" min="3" style="0" width="15"/>
    <col collapsed="false" customWidth="true" hidden="false" outlineLevel="0" max="4" min="4" style="0" width="14"/>
    <col collapsed="false" customWidth="true" hidden="false" outlineLevel="0" max="5" min="5" style="0" width="15"/>
    <col collapsed="false" customWidth="true" hidden="false" outlineLevel="0" max="6" min="6" style="0" width="20"/>
    <col collapsed="false" customWidth="true" hidden="false" outlineLevel="0" max="7" min="7" style="0" width="26"/>
    <col collapsed="false" customWidth="true" hidden="false" outlineLevel="0" max="8" min="8" style="0" width="29"/>
    <col collapsed="false" customWidth="true" hidden="false" outlineLevel="0" max="9" min="9" style="0" width="12"/>
    <col collapsed="false" customWidth="true" hidden="false" outlineLevel="0" max="10" min="10" style="0" width="26"/>
    <col collapsed="false" customWidth="true" hidden="false" outlineLevel="0" max="11" min="11" style="0" width="25"/>
  </cols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true" outlineLevel="0" collapsed="false">
      <c r="A2" s="1" t="s">
        <v>11</v>
      </c>
      <c r="B2" s="1" t="n">
        <v>226316</v>
      </c>
      <c r="C2" s="1" t="n">
        <v>0.060866597</v>
      </c>
      <c r="D2" s="1" t="n">
        <v>7.124970042</v>
      </c>
      <c r="E2" s="1" t="n">
        <v>13871.26441</v>
      </c>
      <c r="F2" s="1" t="n">
        <v>15.5514706</v>
      </c>
      <c r="G2" s="1" t="n">
        <f aca="false">(13677-5641-788)/13677</f>
        <v>0.529940776486072</v>
      </c>
      <c r="H2" s="1" t="n">
        <f aca="false">C2*$G2*($B$18)+$B$15+$B$16</f>
        <v>0.0931852220124032</v>
      </c>
      <c r="I2" s="1" t="n">
        <f aca="false">D2/100-H2</f>
        <v>-0.0219355215924032</v>
      </c>
      <c r="J2" s="1" t="n">
        <f aca="false">C2*$G2*$B$18</f>
        <v>0.0231852220124032</v>
      </c>
      <c r="K2" s="1" t="n">
        <f aca="false">J2+$B$15</f>
        <v>0.0731852220124032</v>
      </c>
    </row>
    <row r="3" customFormat="false" ht="15" hidden="false" customHeight="true" outlineLevel="0" collapsed="false">
      <c r="A3" s="1" t="s">
        <v>12</v>
      </c>
      <c r="B3" s="1" t="n">
        <v>380442</v>
      </c>
      <c r="C3" s="1" t="n">
        <v>0.13448042</v>
      </c>
      <c r="D3" s="1" t="n">
        <v>10.68820564</v>
      </c>
      <c r="E3" s="1" t="n">
        <v>13222.89758</v>
      </c>
      <c r="F3" s="1" t="n">
        <v>17.28397527</v>
      </c>
      <c r="G3" s="1" t="n">
        <f aca="false">(13522-4887-869)/13522</f>
        <v>0.57432332495193</v>
      </c>
      <c r="H3" s="1" t="n">
        <f aca="false">C3*$G3*($B$18)+$B$15+$B$16</f>
        <v>0.125516286858448</v>
      </c>
      <c r="I3" s="1" t="n">
        <f aca="false">D3/100-H3</f>
        <v>-0.0186342304584477</v>
      </c>
      <c r="J3" s="1" t="n">
        <f aca="false">C3*$G3*$B$18</f>
        <v>0.0555162868584477</v>
      </c>
      <c r="K3" s="1" t="n">
        <f aca="false">J3+$B$15</f>
        <v>0.105516286858448</v>
      </c>
    </row>
    <row r="4" customFormat="false" ht="15" hidden="false" customHeight="true" outlineLevel="0" collapsed="false">
      <c r="A4" s="1" t="s">
        <v>13</v>
      </c>
      <c r="B4" s="1" t="n">
        <v>370449</v>
      </c>
      <c r="C4" s="1" t="n">
        <v>0.225110609</v>
      </c>
      <c r="D4" s="1" t="n">
        <v>14.0185442</v>
      </c>
      <c r="E4" s="1" t="n">
        <v>14167.42392</v>
      </c>
      <c r="F4" s="1" t="n">
        <v>18.78264077</v>
      </c>
      <c r="G4" s="1" t="n">
        <f aca="false">(14698-4415-1058)/14698</f>
        <v>0.627636413117431</v>
      </c>
      <c r="H4" s="1" t="n">
        <f aca="false">C4*$G4*($B$18)+$B$15+$B$16</f>
        <v>0.171556796815996</v>
      </c>
      <c r="I4" s="1" t="n">
        <f aca="false">D4/100-H4</f>
        <v>-0.0313713548159956</v>
      </c>
      <c r="J4" s="1" t="n">
        <f aca="false">C4*$G4*$B$18</f>
        <v>0.101556796815996</v>
      </c>
      <c r="K4" s="1" t="n">
        <f aca="false">J4+$B$15</f>
        <v>0.151556796815996</v>
      </c>
    </row>
    <row r="5" customFormat="false" ht="15" hidden="false" customHeight="true" outlineLevel="0" collapsed="false">
      <c r="A5" s="1" t="s">
        <v>14</v>
      </c>
      <c r="B5" s="1" t="n">
        <v>195926</v>
      </c>
      <c r="C5" s="1" t="n">
        <v>0.304359809</v>
      </c>
      <c r="D5" s="1" t="n">
        <v>17.68841318</v>
      </c>
      <c r="E5" s="1" t="n">
        <v>15238.08976</v>
      </c>
      <c r="F5" s="1" t="n">
        <v>19.99131483</v>
      </c>
      <c r="G5" s="1" t="n">
        <f aca="false">(15957-4418-1237)/15957</f>
        <v>0.645610077082158</v>
      </c>
      <c r="H5" s="1" t="n">
        <f aca="false">C5*$G5*($B$18)+$B$15+$B$16</f>
        <v>0.21124155917823</v>
      </c>
      <c r="I5" s="1" t="n">
        <f aca="false">D5/100-H5</f>
        <v>-0.0343574273782304</v>
      </c>
      <c r="J5" s="1" t="n">
        <f aca="false">C5*$G5*$B$18</f>
        <v>0.14124155917823</v>
      </c>
      <c r="K5" s="1" t="n">
        <f aca="false">J5+$B$15</f>
        <v>0.19124155917823</v>
      </c>
    </row>
    <row r="6" customFormat="false" ht="15" hidden="false" customHeight="true" outlineLevel="0" collapsed="false">
      <c r="A6" s="1" t="s">
        <v>15</v>
      </c>
      <c r="B6" s="1" t="n">
        <v>92088</v>
      </c>
      <c r="C6" s="1" t="n">
        <v>0.385739727</v>
      </c>
      <c r="D6" s="1" t="n">
        <v>21.06955423</v>
      </c>
      <c r="E6" s="1" t="n">
        <v>17587.17232</v>
      </c>
      <c r="F6" s="1" t="n">
        <v>20.59563505</v>
      </c>
      <c r="G6" s="1" t="n">
        <f aca="false">(18091-3927-1557)/18091</f>
        <v>0.696865844895252</v>
      </c>
      <c r="H6" s="1" t="n">
        <f aca="false">C6*$G6*($B$18)+$B$15+$B$16</f>
        <v>0.263218384978401</v>
      </c>
      <c r="I6" s="1" t="n">
        <f aca="false">D6/100-H6</f>
        <v>-0.0525228426784014</v>
      </c>
      <c r="J6" s="1" t="n">
        <f aca="false">C6*$G6*$B$18</f>
        <v>0.193218384978401</v>
      </c>
      <c r="K6" s="1" t="n">
        <f aca="false">J6+$B$15</f>
        <v>0.243218384978401</v>
      </c>
    </row>
    <row r="7" customFormat="false" ht="15" hidden="false" customHeight="true" outlineLevel="0" collapsed="false">
      <c r="A7" s="2" t="s">
        <v>16</v>
      </c>
      <c r="B7" s="2" t="n">
        <v>31721</v>
      </c>
      <c r="C7" s="2" t="n">
        <v>0.452507802</v>
      </c>
      <c r="D7" s="2" t="n">
        <v>24.83836544</v>
      </c>
      <c r="E7" s="2" t="n">
        <v>19046.351</v>
      </c>
      <c r="F7" s="2" t="n">
        <v>20.7982923</v>
      </c>
      <c r="G7" s="2" t="n">
        <f aca="false">(19515-3439-1820)/19515</f>
        <v>0.730514988470407</v>
      </c>
      <c r="H7" s="2" t="n">
        <f aca="false">C7*$G7*($B$18)+$B$15+$B$16</f>
        <v>0.307607476753228</v>
      </c>
      <c r="I7" s="2" t="n">
        <f aca="false">D7/100-H7</f>
        <v>-0.059223822353228</v>
      </c>
      <c r="J7" s="2" t="n">
        <f aca="false">C7*$G7*$B$18</f>
        <v>0.237607476753228</v>
      </c>
      <c r="K7" s="2" t="n">
        <f aca="false">J7+$B$15</f>
        <v>0.287607476753228</v>
      </c>
    </row>
    <row r="8" customFormat="false" ht="15" hidden="false" customHeight="true" outlineLevel="0" collapsed="false">
      <c r="A8" s="2" t="s">
        <v>17</v>
      </c>
      <c r="B8" s="2" t="n">
        <v>9139</v>
      </c>
      <c r="C8" s="2" t="n">
        <v>0.497866287</v>
      </c>
      <c r="D8" s="2" t="n">
        <v>27.49975709</v>
      </c>
      <c r="E8" s="2" t="n">
        <v>20422.22891</v>
      </c>
      <c r="F8" s="2" t="n">
        <v>21.04083379</v>
      </c>
      <c r="G8" s="2" t="n">
        <f aca="false">(20334-2887-1932)/20334</f>
        <v>0.763007770237041</v>
      </c>
      <c r="H8" s="2" t="n">
        <f aca="false">C8*$G8*($B$18)+$B$15+$B$16</f>
        <v>0.343052765506762</v>
      </c>
      <c r="I8" s="2" t="n">
        <f aca="false">D8/100-H8</f>
        <v>-0.0680551946067617</v>
      </c>
      <c r="J8" s="2" t="n">
        <f aca="false">C8*$G8*$B$18</f>
        <v>0.273052765506762</v>
      </c>
      <c r="K8" s="2" t="n">
        <f aca="false">J8+$B$15</f>
        <v>0.323052765506762</v>
      </c>
    </row>
    <row r="11" customFormat="false" ht="15" hidden="false" customHeight="true" outlineLevel="0" collapsed="false">
      <c r="A11" s="2" t="s">
        <v>18</v>
      </c>
      <c r="B11" s="2" t="n">
        <v>15521.83</v>
      </c>
    </row>
    <row r="12" customFormat="false" ht="15" hidden="false" customHeight="true" outlineLevel="0" collapsed="false">
      <c r="A12" s="2" t="s">
        <v>19</v>
      </c>
      <c r="B12" s="2" t="n">
        <v>4364.82</v>
      </c>
    </row>
    <row r="13" customFormat="false" ht="15" hidden="false" customHeight="true" outlineLevel="0" collapsed="false">
      <c r="A13" s="2" t="s">
        <v>20</v>
      </c>
      <c r="B13" s="2" t="n">
        <v>1172.18</v>
      </c>
    </row>
    <row r="15" customFormat="false" ht="15" hidden="false" customHeight="true" outlineLevel="0" collapsed="false">
      <c r="A15" s="2" t="s">
        <v>21</v>
      </c>
      <c r="B15" s="2" t="n">
        <v>0.05</v>
      </c>
    </row>
    <row r="16" customFormat="false" ht="15" hidden="false" customHeight="true" outlineLevel="0" collapsed="false">
      <c r="A16" s="2" t="s">
        <v>22</v>
      </c>
      <c r="B16" s="2" t="n">
        <v>0.02</v>
      </c>
    </row>
    <row r="17" customFormat="false" ht="15" hidden="false" customHeight="true" outlineLevel="0" collapsed="false">
      <c r="A17" s="2" t="s">
        <v>23</v>
      </c>
      <c r="B17" s="2" t="n">
        <f aca="false">B11-B12</f>
        <v>11157.01</v>
      </c>
    </row>
    <row r="18" customFormat="false" ht="15" hidden="false" customHeight="true" outlineLevel="0" collapsed="false">
      <c r="A18" s="2" t="s">
        <v>24</v>
      </c>
      <c r="B18" s="2" t="n">
        <f aca="false">B17/B11</f>
        <v>0.718794755515297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5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30"/>
  </cols>
  <sheetData>
    <row r="5" customFormat="false" ht="15" hidden="false" customHeight="true" outlineLevel="0" collapsed="false">
      <c r="A5" s="1" t="s">
        <v>25</v>
      </c>
    </row>
    <row r="6" customFormat="false" ht="15" hidden="false" customHeight="true" outlineLevel="0" collapsed="false">
      <c r="B6" s="1" t="s">
        <v>26</v>
      </c>
      <c r="C6" s="1" t="n">
        <v>0.03</v>
      </c>
      <c r="D6" s="1" t="n">
        <v>0.05</v>
      </c>
      <c r="E6" s="1" t="n">
        <v>0.07</v>
      </c>
      <c r="F6" s="1" t="n">
        <v>0.09</v>
      </c>
    </row>
    <row r="7" customFormat="false" ht="15" hidden="false" customHeight="true" outlineLevel="0" collapsed="false">
      <c r="A7" s="2" t="s">
        <v>11</v>
      </c>
      <c r="B7" s="2" t="n">
        <v>0.060866597</v>
      </c>
      <c r="C7" s="2" t="n">
        <f aca="false">$B7*VLOOKUP($A7,'Grade Overlay'!$A$2:$B$8,2,FALSE())*grade_pricing!$B$18+C$6+grade_pricing!$B$16</f>
        <v>0.0731852220124032</v>
      </c>
      <c r="D7" s="2" t="n">
        <f aca="false">$B7*VLOOKUP($A7,'Grade Overlay'!$A$2:$B$8,2,FALSE())*grade_pricing!$B$18+D$6+grade_pricing!$B$16</f>
        <v>0.0931852220124032</v>
      </c>
      <c r="E7" s="2" t="n">
        <f aca="false">$B7*VLOOKUP($A7,'Grade Overlay'!$A$2:$B$8,2,FALSE())*grade_pricing!$B$18+E$6+grade_pricing!$B$16</f>
        <v>0.113185222012403</v>
      </c>
      <c r="F7" s="2" t="n">
        <f aca="false">$B7*VLOOKUP($A7,'Grade Overlay'!$A$2:$B$8,2,FALSE())*grade_pricing!$B$18+F$6+grade_pricing!$B$16</f>
        <v>0.133185222012403</v>
      </c>
    </row>
    <row r="8" customFormat="false" ht="15" hidden="false" customHeight="true" outlineLevel="0" collapsed="false">
      <c r="A8" s="2" t="s">
        <v>12</v>
      </c>
      <c r="B8" s="2" t="n">
        <v>0.13448042</v>
      </c>
      <c r="C8" s="2" t="n">
        <f aca="false">$B8*VLOOKUP($A8,'Grade Overlay'!$A$2:$B$8,2,FALSE())*grade_pricing!$B$18+C$6+grade_pricing!$B$16</f>
        <v>0.105516286858448</v>
      </c>
      <c r="D8" s="2" t="n">
        <f aca="false">$B8*VLOOKUP($A8,'Grade Overlay'!$A$2:$B$8,2,FALSE())*grade_pricing!$B$18+D$6+grade_pricing!$B$16</f>
        <v>0.125516286858448</v>
      </c>
      <c r="E8" s="2" t="n">
        <f aca="false">$B8*VLOOKUP($A8,'Grade Overlay'!$A$2:$B$8,2,FALSE())*grade_pricing!$B$18+E$6+grade_pricing!$B$16</f>
        <v>0.145516286858448</v>
      </c>
      <c r="F8" s="2" t="n">
        <f aca="false">$B8*VLOOKUP($A8,'Grade Overlay'!$A$2:$B$8,2,FALSE())*grade_pricing!$B$18+F$6+grade_pricing!$B$16</f>
        <v>0.165516286858448</v>
      </c>
    </row>
    <row r="9" customFormat="false" ht="15" hidden="false" customHeight="true" outlineLevel="0" collapsed="false">
      <c r="A9" s="2" t="s">
        <v>13</v>
      </c>
      <c r="B9" s="2" t="n">
        <v>0.225110609</v>
      </c>
      <c r="C9" s="2" t="n">
        <f aca="false">$B9*VLOOKUP($A9,'Grade Overlay'!$A$2:$B$8,2,FALSE())*grade_pricing!$B$18+C$6+grade_pricing!$B$16</f>
        <v>0.151556796815996</v>
      </c>
      <c r="D9" s="2" t="n">
        <f aca="false">$B9*VLOOKUP($A9,'Grade Overlay'!$A$2:$B$8,2,FALSE())*grade_pricing!$B$18+D$6+grade_pricing!$B$16</f>
        <v>0.171556796815996</v>
      </c>
      <c r="E9" s="2" t="n">
        <f aca="false">$B9*VLOOKUP($A9,'Grade Overlay'!$A$2:$B$8,2,FALSE())*grade_pricing!$B$18+E$6+grade_pricing!$B$16</f>
        <v>0.191556796815996</v>
      </c>
      <c r="F9" s="2" t="n">
        <f aca="false">$B9*VLOOKUP($A9,'Grade Overlay'!$A$2:$B$8,2,FALSE())*grade_pricing!$B$18+F$6+grade_pricing!$B$16</f>
        <v>0.211556796815996</v>
      </c>
    </row>
    <row r="10" customFormat="false" ht="15" hidden="false" customHeight="true" outlineLevel="0" collapsed="false">
      <c r="A10" s="2" t="s">
        <v>14</v>
      </c>
      <c r="B10" s="2" t="n">
        <v>0.304359809</v>
      </c>
      <c r="C10" s="2" t="n">
        <f aca="false">$B10*VLOOKUP($A10,'Grade Overlay'!$A$2:$B$8,2,FALSE())*grade_pricing!$B$18+C$6+grade_pricing!$B$16</f>
        <v>0.19124155917823</v>
      </c>
      <c r="D10" s="2" t="n">
        <f aca="false">$B10*VLOOKUP($A10,'Grade Overlay'!$A$2:$B$8,2,FALSE())*grade_pricing!$B$18+D$6+grade_pricing!$B$16</f>
        <v>0.21124155917823</v>
      </c>
      <c r="E10" s="2" t="n">
        <f aca="false">$B10*VLOOKUP($A10,'Grade Overlay'!$A$2:$B$8,2,FALSE())*grade_pricing!$B$18+E$6+grade_pricing!$B$16</f>
        <v>0.23124155917823</v>
      </c>
      <c r="F10" s="2" t="n">
        <f aca="false">$B10*VLOOKUP($A10,'Grade Overlay'!$A$2:$B$8,2,FALSE())*grade_pricing!$B$18+F$6+grade_pricing!$B$16</f>
        <v>0.25124155917823</v>
      </c>
    </row>
    <row r="11" customFormat="false" ht="15" hidden="false" customHeight="true" outlineLevel="0" collapsed="false">
      <c r="A11" s="2" t="s">
        <v>15</v>
      </c>
      <c r="B11" s="2" t="n">
        <v>0.385739727</v>
      </c>
      <c r="C11" s="2" t="n">
        <f aca="false">$B11*VLOOKUP($A11,'Grade Overlay'!$A$2:$B$8,2,FALSE())*grade_pricing!$B$18+C$6+grade_pricing!$B$16</f>
        <v>0.243218384978401</v>
      </c>
      <c r="D11" s="2" t="n">
        <f aca="false">$B11*VLOOKUP($A11,'Grade Overlay'!$A$2:$B$8,2,FALSE())*grade_pricing!$B$18+D$6+grade_pricing!$B$16</f>
        <v>0.263218384978401</v>
      </c>
      <c r="E11" s="2" t="n">
        <f aca="false">$B11*VLOOKUP($A11,'Grade Overlay'!$A$2:$B$8,2,FALSE())*grade_pricing!$B$18+E$6+grade_pricing!$B$16</f>
        <v>0.283218384978401</v>
      </c>
      <c r="F11" s="2" t="n">
        <f aca="false">$B11*VLOOKUP($A11,'Grade Overlay'!$A$2:$B$8,2,FALSE())*grade_pricing!$B$18+F$6+grade_pricing!$B$16</f>
        <v>0.303218384978401</v>
      </c>
    </row>
    <row r="12" customFormat="false" ht="15" hidden="false" customHeight="true" outlineLevel="0" collapsed="false">
      <c r="A12" s="2" t="s">
        <v>16</v>
      </c>
      <c r="B12" s="2" t="n">
        <v>0.452507802</v>
      </c>
      <c r="C12" s="2" t="n">
        <f aca="false">$B12*VLOOKUP($A12,'Grade Overlay'!$A$2:$B$8,2,FALSE())*grade_pricing!$B$18+C$6+grade_pricing!$B$16</f>
        <v>0.287607476753228</v>
      </c>
      <c r="D12" s="2" t="n">
        <f aca="false">$B12*VLOOKUP($A12,'Grade Overlay'!$A$2:$B$8,2,FALSE())*grade_pricing!$B$18+D$6+grade_pricing!$B$16</f>
        <v>0.307607476753228</v>
      </c>
      <c r="E12" s="2" t="n">
        <f aca="false">$B12*VLOOKUP($A12,'Grade Overlay'!$A$2:$B$8,2,FALSE())*grade_pricing!$B$18+E$6+grade_pricing!$B$16</f>
        <v>0.327607476753228</v>
      </c>
      <c r="F12" s="2" t="n">
        <f aca="false">$B12*VLOOKUP($A12,'Grade Overlay'!$A$2:$B$8,2,FALSE())*grade_pricing!$B$18+F$6+grade_pricing!$B$16</f>
        <v>0.347607476753228</v>
      </c>
    </row>
    <row r="13" customFormat="false" ht="15" hidden="false" customHeight="true" outlineLevel="0" collapsed="false">
      <c r="A13" s="2" t="s">
        <v>17</v>
      </c>
      <c r="B13" s="2" t="n">
        <v>0.497866287</v>
      </c>
      <c r="C13" s="2" t="n">
        <f aca="false">$B13*VLOOKUP($A13,'Grade Overlay'!$A$2:$B$8,2,FALSE())*grade_pricing!$B$18+C$6+grade_pricing!$B$16</f>
        <v>0.323052765506762</v>
      </c>
      <c r="D13" s="2" t="n">
        <f aca="false">$B13*VLOOKUP($A13,'Grade Overlay'!$A$2:$B$8,2,FALSE())*grade_pricing!$B$18+D$6+grade_pricing!$B$16</f>
        <v>0.343052765506762</v>
      </c>
      <c r="E13" s="2" t="n">
        <f aca="false">$B13*VLOOKUP($A13,'Grade Overlay'!$A$2:$B$8,2,FALSE())*grade_pricing!$B$18+E$6+grade_pricing!$B$16</f>
        <v>0.363052765506762</v>
      </c>
      <c r="F13" s="2" t="n">
        <f aca="false">$B13*VLOOKUP($A13,'Grade Overlay'!$A$2:$B$8,2,FALSE())*grade_pricing!$B$18+F$6+grade_pricing!$B$16</f>
        <v>0.383052765506762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9"/>
    <col collapsed="false" customWidth="true" hidden="false" outlineLevel="0" max="3" min="3" style="0" width="27"/>
    <col collapsed="false" customWidth="true" hidden="false" outlineLevel="0" max="5" min="4" style="0" width="19"/>
    <col collapsed="false" customWidth="true" hidden="false" outlineLevel="0" max="6" min="6" style="0" width="15"/>
    <col collapsed="false" customWidth="true" hidden="false" outlineLevel="0" max="7" min="7" style="0" width="30"/>
    <col collapsed="false" customWidth="true" hidden="false" outlineLevel="0" max="8" min="8" style="0" width="20"/>
  </cols>
  <sheetData>
    <row r="1" customFormat="false" ht="15" hidden="false" customHeight="true" outlineLevel="0" collapsed="false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</row>
    <row r="2" customFormat="false" ht="15" hidden="false" customHeight="true" outlineLevel="0" collapsed="false">
      <c r="A2" s="1" t="s">
        <v>11</v>
      </c>
      <c r="B2" s="1" t="n">
        <f aca="false">grade_pricing!G2</f>
        <v>0.529940776486072</v>
      </c>
      <c r="C2" s="1" t="n">
        <f aca="false">7.124970042/100</f>
        <v>0.07124970042</v>
      </c>
      <c r="D2" s="1" t="n">
        <f aca="false">grade_pricing!K2</f>
        <v>0.0731852220124032</v>
      </c>
      <c r="E2" s="1" t="n">
        <f aca="false">grade_pricing!H2</f>
        <v>0.0931852220124032</v>
      </c>
      <c r="F2" s="1" t="n">
        <f aca="false">C2-E2</f>
        <v>-0.0219355215924032</v>
      </c>
      <c r="G2" s="1" t="str">
        <f aca="false">IF(C2 &lt; D2, "Below Breakeven", "Above Breakeven")</f>
        <v>Below Breakeven</v>
      </c>
      <c r="H2" s="1" t="n">
        <f aca="false">C2-D2</f>
        <v>-0.00193552159240316</v>
      </c>
    </row>
    <row r="3" customFormat="false" ht="15" hidden="false" customHeight="true" outlineLevel="0" collapsed="false">
      <c r="A3" s="1" t="s">
        <v>12</v>
      </c>
      <c r="B3" s="1" t="n">
        <f aca="false">grade_pricing!G3</f>
        <v>0.57432332495193</v>
      </c>
      <c r="C3" s="1" t="n">
        <f aca="false">10.68820564/100</f>
        <v>0.1068820564</v>
      </c>
      <c r="D3" s="1" t="n">
        <f aca="false">grade_pricing!K3</f>
        <v>0.105516286858448</v>
      </c>
      <c r="E3" s="1" t="n">
        <f aca="false">grade_pricing!H3</f>
        <v>0.125516286858448</v>
      </c>
      <c r="F3" s="1" t="n">
        <f aca="false">C3-E3</f>
        <v>-0.0186342304584477</v>
      </c>
      <c r="G3" s="1" t="str">
        <f aca="false">IF(C3 &lt; D3, "Below Breakeven", "Above Breakeven")</f>
        <v>Above Breakeven</v>
      </c>
      <c r="H3" s="1" t="n">
        <f aca="false">C3-D3</f>
        <v>0.00136576954155231</v>
      </c>
    </row>
    <row r="4" customFormat="false" ht="15" hidden="false" customHeight="true" outlineLevel="0" collapsed="false">
      <c r="A4" s="1" t="s">
        <v>13</v>
      </c>
      <c r="B4" s="1" t="n">
        <f aca="false">grade_pricing!G4</f>
        <v>0.627636413117431</v>
      </c>
      <c r="C4" s="1" t="n">
        <f aca="false">14.0185442/100</f>
        <v>0.140185442</v>
      </c>
      <c r="D4" s="1" t="n">
        <f aca="false">grade_pricing!K4</f>
        <v>0.151556796815996</v>
      </c>
      <c r="E4" s="1" t="n">
        <f aca="false">grade_pricing!H4</f>
        <v>0.171556796815996</v>
      </c>
      <c r="F4" s="1" t="n">
        <f aca="false">C4-E4</f>
        <v>-0.0313713548159956</v>
      </c>
      <c r="G4" s="1" t="str">
        <f aca="false">IF(C4 &lt; D4, "Below Breakeven", "Above Breakeven")</f>
        <v>Below Breakeven</v>
      </c>
      <c r="H4" s="1" t="n">
        <f aca="false">C4-D4</f>
        <v>-0.0113713548159956</v>
      </c>
    </row>
    <row r="5" customFormat="false" ht="15" hidden="false" customHeight="true" outlineLevel="0" collapsed="false">
      <c r="A5" s="1" t="s">
        <v>14</v>
      </c>
      <c r="B5" s="1" t="n">
        <f aca="false">grade_pricing!G5</f>
        <v>0.645610077082158</v>
      </c>
      <c r="C5" s="1" t="n">
        <f aca="false">17.68841318/100</f>
        <v>0.1768841318</v>
      </c>
      <c r="D5" s="1" t="n">
        <f aca="false">grade_pricing!K5</f>
        <v>0.19124155917823</v>
      </c>
      <c r="E5" s="1" t="n">
        <f aca="false">grade_pricing!H5</f>
        <v>0.21124155917823</v>
      </c>
      <c r="F5" s="1" t="n">
        <f aca="false">C5-E5</f>
        <v>-0.0343574273782304</v>
      </c>
      <c r="G5" s="1" t="str">
        <f aca="false">IF(C5 &lt; D5, "Below Breakeven", "Above Breakeven")</f>
        <v>Below Breakeven</v>
      </c>
      <c r="H5" s="1" t="n">
        <f aca="false">C5-D5</f>
        <v>-0.0143574273782304</v>
      </c>
    </row>
    <row r="6" customFormat="false" ht="15" hidden="false" customHeight="true" outlineLevel="0" collapsed="false">
      <c r="A6" s="1" t="s">
        <v>15</v>
      </c>
      <c r="B6" s="1" t="n">
        <f aca="false">grade_pricing!G6</f>
        <v>0.696865844895252</v>
      </c>
      <c r="C6" s="1" t="n">
        <f aca="false">21.06955423/100</f>
        <v>0.2106955423</v>
      </c>
      <c r="D6" s="1" t="n">
        <f aca="false">grade_pricing!K6</f>
        <v>0.243218384978401</v>
      </c>
      <c r="E6" s="1" t="n">
        <f aca="false">grade_pricing!H6</f>
        <v>0.263218384978401</v>
      </c>
      <c r="F6" s="1" t="n">
        <f aca="false">C6-E6</f>
        <v>-0.0525228426784014</v>
      </c>
      <c r="G6" s="1" t="str">
        <f aca="false">IF(C6 &lt; D6, "Below Breakeven", "Above Breakeven")</f>
        <v>Below Breakeven</v>
      </c>
      <c r="H6" s="1" t="n">
        <f aca="false">C6-D6</f>
        <v>-0.0325228426784014</v>
      </c>
    </row>
    <row r="7" customFormat="false" ht="15" hidden="false" customHeight="true" outlineLevel="0" collapsed="false">
      <c r="A7" s="2" t="s">
        <v>16</v>
      </c>
      <c r="B7" s="2" t="n">
        <f aca="false">grade_pricing!G7</f>
        <v>0.730514988470407</v>
      </c>
      <c r="C7" s="2" t="n">
        <f aca="false">24.83836544/100</f>
        <v>0.2483836544</v>
      </c>
      <c r="D7" s="2" t="n">
        <f aca="false">grade_pricing!K7</f>
        <v>0.287607476753228</v>
      </c>
      <c r="E7" s="2" t="n">
        <f aca="false">grade_pricing!H7</f>
        <v>0.307607476753228</v>
      </c>
      <c r="F7" s="2" t="n">
        <f aca="false">C7-E7</f>
        <v>-0.059223822353228</v>
      </c>
      <c r="G7" s="2" t="str">
        <f aca="false">IF(C7 &lt; D7, "Below Breakeven", "Above Breakeven")</f>
        <v>Below Breakeven</v>
      </c>
      <c r="H7" s="2" t="n">
        <f aca="false">C7-D7</f>
        <v>-0.0392238223532279</v>
      </c>
    </row>
    <row r="8" customFormat="false" ht="15" hidden="false" customHeight="true" outlineLevel="0" collapsed="false">
      <c r="A8" s="2" t="s">
        <v>17</v>
      </c>
      <c r="B8" s="2" t="n">
        <f aca="false">grade_pricing!G8</f>
        <v>0.763007770237041</v>
      </c>
      <c r="C8" s="2" t="n">
        <f aca="false">27.49975709/100</f>
        <v>0.2749975709</v>
      </c>
      <c r="D8" s="2" t="n">
        <f aca="false">grade_pricing!K8</f>
        <v>0.323052765506762</v>
      </c>
      <c r="E8" s="2" t="n">
        <f aca="false">grade_pricing!H8</f>
        <v>0.343052765506762</v>
      </c>
      <c r="F8" s="2" t="n">
        <f aca="false">C8-E8</f>
        <v>-0.0680551946067617</v>
      </c>
      <c r="G8" s="2" t="str">
        <f aca="false">IF(C8 &lt; D8, "Below Breakeven", "Above Breakeven")</f>
        <v>Below Breakeven</v>
      </c>
      <c r="H8" s="2" t="n">
        <f aca="false">C8-D8</f>
        <v>-0.0480551946067617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2026-08-19T20:13:50Z</dcterms:created>
  <dc:creator>openpyxl</dc:creator>
  <dc:description/>
  <dc:language>en-US</dc:language>
  <cp:lastModifiedBy/>
  <dcterms:modified xsi:type="dcterms:W3CDTF">2026-08-19T20:14:11Z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